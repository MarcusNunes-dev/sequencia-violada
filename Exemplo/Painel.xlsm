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upomonto-my.sharepoint.com/personal/marcus_nunes_grupomonto_com_br/Documents/Área de Trabalho/Marcus/Sequência Violada/"/>
    </mc:Choice>
  </mc:AlternateContent>
  <xr:revisionPtr revIDLastSave="99" documentId="13_ncr:1_{0DE5D062-3BFF-4642-B3BD-D5FE6B54704C}" xr6:coauthVersionLast="47" xr6:coauthVersionMax="47" xr10:uidLastSave="{C16143FF-38B7-4A1F-AFC8-5E63D78842D1}"/>
  <bookViews>
    <workbookView xWindow="-120" yWindow="-120" windowWidth="29040" windowHeight="15720" xr2:uid="{759BA2D2-B444-4820-A7A0-364EB4C612AC}"/>
  </bookViews>
  <sheets>
    <sheet name="Painel" sheetId="8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8" l="1"/>
  <c r="D16" i="8" s="1"/>
  <c r="C15" i="8"/>
  <c r="F15" i="8" s="1"/>
  <c r="C16" i="8" l="1"/>
  <c r="C17" i="8" s="1"/>
  <c r="C18" i="8" s="1"/>
  <c r="D17" i="8"/>
  <c r="D18" i="8" s="1"/>
  <c r="F18" i="8" s="1"/>
  <c r="F16" i="8"/>
  <c r="F17" i="8" l="1"/>
</calcChain>
</file>

<file path=xl/sharedStrings.xml><?xml version="1.0" encoding="utf-8"?>
<sst xmlns="http://schemas.openxmlformats.org/spreadsheetml/2006/main" count="31" uniqueCount="20">
  <si>
    <t>Coligada</t>
  </si>
  <si>
    <t>Data Início</t>
  </si>
  <si>
    <t>Data Fim</t>
  </si>
  <si>
    <t>Extrair?</t>
  </si>
  <si>
    <t>Sim</t>
  </si>
  <si>
    <t>DataInicio</t>
  </si>
  <si>
    <t>DataFim</t>
  </si>
  <si>
    <t>Caminho Anexo</t>
  </si>
  <si>
    <t>senha</t>
  </si>
  <si>
    <t>Não</t>
  </si>
  <si>
    <t>Nome Anexo</t>
  </si>
  <si>
    <t>Empresa</t>
  </si>
  <si>
    <t>login</t>
  </si>
  <si>
    <t>Anexo</t>
  </si>
  <si>
    <t>Range</t>
  </si>
  <si>
    <t>Inserir caminho</t>
  </si>
  <si>
    <t>Empresa 1</t>
  </si>
  <si>
    <t>Empresa 2</t>
  </si>
  <si>
    <t>Empresa 3</t>
  </si>
  <si>
    <t>Empresa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</si>
</sst>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9C650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b/>
      <sz val="11"/>
      <color theme="1"/>
      <name val="Agency FB"/>
      <family val="2"/>
    </font>
    <font>
      <sz val="14"/>
      <color rgb="FF000000"/>
      <name val="Bahnschrift Condensed"/>
      <family val="2"/>
    </font>
    <font>
      <u/>
      <sz val="11"/>
      <color theme="10"/>
      <name val="Aptos Narrow"/>
      <family val="2"/>
      <scheme val="minor"/>
    </font>
    <font>
      <u/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4" tint="0.80001220740379042"/>
        <bgColor indexed="64"/>
      </patternFill>
    </fill>
    <fill>
      <patternFill patternType="solid">
        <fgColor theme="5" tint="0.80001220740379042"/>
        <bgColor indexed="64"/>
      </patternFill>
    </fill>
    <fill>
      <patternFill patternType="solid">
        <fgColor theme="6" tint="0.80001220740379042"/>
        <bgColor indexed="64"/>
      </patternFill>
    </fill>
    <fill>
      <patternFill patternType="solid">
        <fgColor theme="7" tint="0.80001220740379042"/>
        <bgColor indexed="64"/>
      </patternFill>
    </fill>
    <fill>
      <patternFill patternType="solid">
        <fgColor theme="8" tint="0.80001220740379042"/>
        <bgColor indexed="64"/>
      </patternFill>
    </fill>
    <fill>
      <patternFill patternType="solid">
        <fgColor theme="9" tint="0.800012207403790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40000610370189521"/>
        <bgColor indexed="64"/>
      </patternFill>
    </fill>
    <fill>
      <patternFill patternType="solid">
        <fgColor theme="5" tint="0.40000610370189521"/>
        <bgColor indexed="64"/>
      </patternFill>
    </fill>
    <fill>
      <patternFill patternType="solid">
        <fgColor theme="6" tint="0.40000610370189521"/>
        <bgColor indexed="64"/>
      </patternFill>
    </fill>
    <fill>
      <patternFill patternType="solid">
        <fgColor theme="7" tint="0.40000610370189521"/>
        <bgColor indexed="64"/>
      </patternFill>
    </fill>
    <fill>
      <patternFill patternType="solid">
        <fgColor theme="8" tint="0.40000610370189521"/>
        <bgColor indexed="64"/>
      </patternFill>
    </fill>
    <fill>
      <patternFill patternType="solid">
        <fgColor theme="9" tint="0.400006103701895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19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7" fillId="26" borderId="0" applyNumberFormat="0" applyBorder="0" applyAlignment="0" applyProtection="0"/>
    <xf numFmtId="0" fontId="10" fillId="27" borderId="4" applyNumberFormat="0" applyAlignment="0" applyProtection="0"/>
    <xf numFmtId="0" fontId="1" fillId="28" borderId="7" applyNumberFormat="0" applyAlignment="0" applyProtection="0"/>
    <xf numFmtId="0" fontId="13" fillId="0" borderId="0" applyNumberFormat="0" applyFill="0" applyBorder="0" applyAlignment="0" applyProtection="0"/>
    <xf numFmtId="0" fontId="6" fillId="29" borderId="0" applyNumberFormat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8" fillId="30" borderId="4" applyNumberFormat="0" applyAlignment="0" applyProtection="0"/>
    <xf numFmtId="0" fontId="11" fillId="0" borderId="6" applyNumberFormat="0" applyFill="0" applyAlignment="0" applyProtection="0"/>
    <xf numFmtId="0" fontId="15" fillId="31" borderId="0" applyNumberFormat="0" applyBorder="0" applyAlignment="0" applyProtection="0"/>
    <xf numFmtId="0" fontId="2" fillId="32" borderId="8" applyNumberFormat="0" applyFont="0" applyAlignment="0" applyProtection="0"/>
    <xf numFmtId="0" fontId="9" fillId="27" borderId="5" applyNumberFormat="0" applyAlignment="0" applyProtection="0"/>
    <xf numFmtId="0" fontId="16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left"/>
    </xf>
    <xf numFmtId="0" fontId="17" fillId="0" borderId="9" xfId="0" applyFont="1" applyBorder="1" applyAlignment="1">
      <alignment horizontal="left"/>
    </xf>
    <xf numFmtId="14" fontId="17" fillId="0" borderId="10" xfId="0" applyNumberFormat="1" applyFont="1" applyBorder="1" applyAlignment="1">
      <alignment horizontal="left"/>
    </xf>
    <xf numFmtId="0" fontId="17" fillId="0" borderId="11" xfId="0" applyFont="1" applyBorder="1" applyAlignment="1">
      <alignment horizontal="left"/>
    </xf>
    <xf numFmtId="14" fontId="17" fillId="0" borderId="12" xfId="0" applyNumberFormat="1" applyFont="1" applyBorder="1" applyAlignment="1">
      <alignment horizontal="left"/>
    </xf>
    <xf numFmtId="0" fontId="17" fillId="0" borderId="12" xfId="0" applyFont="1" applyBorder="1" applyAlignment="1">
      <alignment horizontal="left"/>
    </xf>
    <xf numFmtId="0" fontId="17" fillId="0" borderId="13" xfId="0" applyFont="1" applyBorder="1" applyAlignment="1">
      <alignment horizontal="left"/>
    </xf>
    <xf numFmtId="0" fontId="0" fillId="0" borderId="15" xfId="0" applyBorder="1"/>
    <xf numFmtId="14" fontId="0" fillId="0" borderId="15" xfId="0" applyNumberFormat="1" applyBorder="1"/>
    <xf numFmtId="0" fontId="0" fillId="0" borderId="21" xfId="0" applyBorder="1"/>
    <xf numFmtId="14" fontId="0" fillId="0" borderId="21" xfId="0" applyNumberFormat="1" applyBorder="1"/>
    <xf numFmtId="0" fontId="0" fillId="33" borderId="16" xfId="0" applyFill="1" applyBorder="1"/>
    <xf numFmtId="0" fontId="0" fillId="33" borderId="17" xfId="0" applyFill="1" applyBorder="1"/>
    <xf numFmtId="0" fontId="0" fillId="33" borderId="18" xfId="0" applyFill="1" applyBorder="1"/>
    <xf numFmtId="0" fontId="0" fillId="34" borderId="19" xfId="0" applyFill="1" applyBorder="1"/>
    <xf numFmtId="0" fontId="0" fillId="35" borderId="19" xfId="0" applyFill="1" applyBorder="1"/>
    <xf numFmtId="0" fontId="0" fillId="36" borderId="19" xfId="0" applyFill="1" applyBorder="1"/>
    <xf numFmtId="0" fontId="0" fillId="37" borderId="20" xfId="0" applyFill="1" applyBorder="1"/>
    <xf numFmtId="0" fontId="20" fillId="0" borderId="14" xfId="41" applyFont="1" applyBorder="1" applyAlignment="1">
      <alignment horizontal="left"/>
    </xf>
  </cellXfs>
  <cellStyles count="42">
    <cellStyle name="20% - Accent1" xfId="1" xr:uid="{8E86A879-7F44-4201-A763-DCDDECFCDBAA}"/>
    <cellStyle name="20% - Accent2" xfId="2" xr:uid="{1A5007D1-6D13-45EC-8BC5-386A2BF1A2B0}"/>
    <cellStyle name="20% - Accent3" xfId="3" xr:uid="{51AC1CF6-6861-4CAD-AE77-B557D2552F68}"/>
    <cellStyle name="20% - Accent4" xfId="4" xr:uid="{DE392BC2-B28D-4DE1-BB93-100D6B971E4E}"/>
    <cellStyle name="20% - Accent5" xfId="5" xr:uid="{F331FBAB-180F-4B54-9824-3782287ECF4E}"/>
    <cellStyle name="20% - Accent6" xfId="6" xr:uid="{FC91189C-0E78-4644-BABD-C9E587A62FC0}"/>
    <cellStyle name="40% - Accent1" xfId="7" xr:uid="{5B81C10E-19B5-4844-8DEE-E749D563C67C}"/>
    <cellStyle name="40% - Accent2" xfId="8" xr:uid="{7F7867B5-21AA-42BE-AF58-244E3C7D0850}"/>
    <cellStyle name="40% - Accent3" xfId="9" xr:uid="{622C3106-175E-42AC-A6CF-035872B311D1}"/>
    <cellStyle name="40% - Accent4" xfId="10" xr:uid="{D9A91732-5CF2-4FC7-BA8F-398738632738}"/>
    <cellStyle name="40% - Accent5" xfId="11" xr:uid="{071DC032-2B8A-4922-B97C-E0126215D64B}"/>
    <cellStyle name="40% - Accent6" xfId="12" xr:uid="{2E7C7E35-70CB-45B9-8627-33BF5889B7BE}"/>
    <cellStyle name="60% - Accent1" xfId="13" xr:uid="{DF255491-4AB7-486C-86C2-1676CED9932C}"/>
    <cellStyle name="60% - Accent2" xfId="14" xr:uid="{24953545-8B3F-4BD8-B3DE-AC99A89F9C19}"/>
    <cellStyle name="60% - Accent3" xfId="15" xr:uid="{9C3D325C-4852-46D0-8E7D-12E4CC399B2F}"/>
    <cellStyle name="60% - Accent4" xfId="16" xr:uid="{C03A7AF2-5AC7-429D-A53B-39C6D5120E8D}"/>
    <cellStyle name="60% - Accent5" xfId="17" xr:uid="{2B6DAC38-218C-4B91-9277-35F8E100C29D}"/>
    <cellStyle name="60% - Accent6" xfId="18" xr:uid="{D8D7F193-7C39-45CE-9B01-BD66AFC94D13}"/>
    <cellStyle name="Accent1" xfId="19" xr:uid="{97050F99-2F83-4631-9974-A650B6DB8BAD}"/>
    <cellStyle name="Accent2" xfId="20" xr:uid="{29681CAF-1600-4E23-B5C6-5A8693952045}"/>
    <cellStyle name="Accent3" xfId="21" xr:uid="{2541EB61-9839-4DE2-BE24-FEECD5868949}"/>
    <cellStyle name="Accent4" xfId="22" xr:uid="{2A37853A-CA44-45EF-8AAC-47DE531871F8}"/>
    <cellStyle name="Accent5" xfId="23" xr:uid="{793D13C8-F6C9-48A7-9547-1A01619E17BF}"/>
    <cellStyle name="Accent6" xfId="24" xr:uid="{9532BE28-57EA-4155-8C50-9D2B811895DD}"/>
    <cellStyle name="Bad" xfId="25" xr:uid="{FB5AD7E1-63C5-4C1D-AF79-C508788AEE0B}"/>
    <cellStyle name="Calculation" xfId="26" xr:uid="{1FCB3595-F548-4416-9031-CF2A0D701C05}"/>
    <cellStyle name="Check Cell" xfId="27" xr:uid="{7D137C13-ABF8-4176-972A-0C6B8CC56012}"/>
    <cellStyle name="Explanatory Text" xfId="28" xr:uid="{EEDA8F2F-08B3-4EA5-A649-A2D7788353A6}"/>
    <cellStyle name="Good" xfId="29" xr:uid="{394067C4-8218-45CE-956D-BB8E07B61027}"/>
    <cellStyle name="Heading 1" xfId="30" xr:uid="{5CBBBD1B-2807-41E0-B26E-8BB7535D196D}"/>
    <cellStyle name="Heading 2" xfId="31" xr:uid="{742B773A-12CA-4F24-BF1F-35883357D11A}"/>
    <cellStyle name="Heading 3" xfId="32" xr:uid="{87759C56-AB32-4447-BA2B-15837F7C9A6F}"/>
    <cellStyle name="Heading 4" xfId="33" xr:uid="{3AFAC14B-F9C1-47E1-B4B2-0EB1D63B5116}"/>
    <cellStyle name="Hiperlink" xfId="41" builtinId="8"/>
    <cellStyle name="Input" xfId="34" xr:uid="{BD0194FF-34FC-4CAE-AC7C-EE0F0789B05D}"/>
    <cellStyle name="Linked Cell" xfId="35" xr:uid="{D134FA86-F181-4774-B2A0-DBD467F33398}"/>
    <cellStyle name="Neutral" xfId="36" xr:uid="{01D8791E-56E4-4D82-ABD2-51DE3D5DAF21}"/>
    <cellStyle name="Normal" xfId="0" builtinId="0"/>
    <cellStyle name="Note" xfId="37" xr:uid="{9E6D2B5F-C6CB-4762-A758-EA1EF3ED4B09}"/>
    <cellStyle name="Output" xfId="38" xr:uid="{52B2B23E-76FB-477F-AEE7-2510EA4CFFA9}"/>
    <cellStyle name="Title" xfId="39" xr:uid="{D42CC325-CA5C-48AC-B55C-A40AF2EF343C}"/>
    <cellStyle name="Warning Text" xfId="40" xr:uid="{3519B0AF-1DF9-4D40-9A62-3B3A6398BF31}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</xdr:row>
          <xdr:rowOff>123825</xdr:rowOff>
        </xdr:from>
        <xdr:to>
          <xdr:col>4</xdr:col>
          <xdr:colOff>885825</xdr:colOff>
          <xdr:row>6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Bahnschrift Condensed"/>
                </a:rPr>
                <a:t>Executar Macro</a:t>
              </a:r>
            </a:p>
          </xdr:txBody>
        </xdr:sp>
        <xdr:clientData fLocksWithSheet="0"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B98E8-5228-44C1-96CC-A958D55F58D5}">
  <sheetPr codeName="Planilha5"/>
  <dimension ref="A3:H18"/>
  <sheetViews>
    <sheetView tabSelected="1" workbookViewId="0">
      <selection activeCell="C7" sqref="C7"/>
    </sheetView>
  </sheetViews>
  <sheetFormatPr defaultRowHeight="15" x14ac:dyDescent="0.25"/>
  <cols>
    <col min="1" max="1" width="8.85546875" bestFit="1" customWidth="1"/>
    <col min="2" max="2" width="11" bestFit="1" customWidth="1"/>
    <col min="3" max="4" width="10.42578125" bestFit="1" customWidth="1"/>
    <col min="5" max="5" width="15.140625" bestFit="1" customWidth="1"/>
    <col min="6" max="6" width="55.140625" bestFit="1" customWidth="1"/>
    <col min="7" max="7" width="10.140625" bestFit="1" customWidth="1"/>
    <col min="8" max="8" width="6.28515625" bestFit="1" customWidth="1"/>
  </cols>
  <sheetData>
    <row r="3" spans="1:8" ht="15.75" thickBot="1" x14ac:dyDescent="0.3">
      <c r="A3" s="1"/>
      <c r="B3" s="1"/>
      <c r="C3" t="s">
        <v>14</v>
      </c>
    </row>
    <row r="4" spans="1:8" x14ac:dyDescent="0.25">
      <c r="A4" s="2" t="s">
        <v>1</v>
      </c>
      <c r="B4" s="3">
        <v>45637</v>
      </c>
      <c r="C4" t="s">
        <v>4</v>
      </c>
    </row>
    <row r="5" spans="1:8" x14ac:dyDescent="0.25">
      <c r="A5" s="4" t="s">
        <v>2</v>
      </c>
      <c r="B5" s="5">
        <v>45797</v>
      </c>
      <c r="C5" t="s">
        <v>9</v>
      </c>
    </row>
    <row r="6" spans="1:8" x14ac:dyDescent="0.25">
      <c r="A6" s="4" t="s">
        <v>12</v>
      </c>
      <c r="B6" s="6"/>
    </row>
    <row r="7" spans="1:8" ht="15.75" thickBot="1" x14ac:dyDescent="0.3">
      <c r="A7" s="7" t="s">
        <v>8</v>
      </c>
      <c r="B7" s="19"/>
    </row>
    <row r="13" spans="1:8" ht="15.75" thickBot="1" x14ac:dyDescent="0.3"/>
    <row r="14" spans="1:8" x14ac:dyDescent="0.25">
      <c r="A14" s="12" t="s">
        <v>0</v>
      </c>
      <c r="B14" s="13" t="s">
        <v>3</v>
      </c>
      <c r="C14" s="13" t="s">
        <v>5</v>
      </c>
      <c r="D14" s="13" t="s">
        <v>6</v>
      </c>
      <c r="E14" s="13" t="s">
        <v>7</v>
      </c>
      <c r="F14" s="13" t="s">
        <v>10</v>
      </c>
      <c r="G14" s="13" t="s">
        <v>11</v>
      </c>
      <c r="H14" s="14" t="s">
        <v>13</v>
      </c>
    </row>
    <row r="15" spans="1:8" x14ac:dyDescent="0.25">
      <c r="A15" s="15">
        <v>1</v>
      </c>
      <c r="B15" s="8" t="s">
        <v>4</v>
      </c>
      <c r="C15" s="9">
        <f>B4</f>
        <v>45637</v>
      </c>
      <c r="D15" s="9">
        <f>B5</f>
        <v>45797</v>
      </c>
      <c r="E15" s="8" t="s">
        <v>15</v>
      </c>
      <c r="F15" s="8" t="str">
        <f>_xlfn.CONCAT(G15," - Repouso Violado - ",IF(MONTH(C15)&lt;10,"0"&amp;MONTH(C15),MONTH(C15)),".",YEAR(C15)," a ",IF(MONTH(D15)&lt;10,"0"&amp;MONTH(D15),MONTH(D15)),".",YEAR(D15))</f>
        <v>Empresa 1 - Repouso Violado - 12.2024 a 05.2025</v>
      </c>
      <c r="G15" s="8" t="s">
        <v>16</v>
      </c>
      <c r="H15" s="8" t="s">
        <v>4</v>
      </c>
    </row>
    <row r="16" spans="1:8" x14ac:dyDescent="0.25">
      <c r="A16" s="16">
        <v>2</v>
      </c>
      <c r="B16" s="8" t="s">
        <v>4</v>
      </c>
      <c r="C16" s="9">
        <f>C15</f>
        <v>45637</v>
      </c>
      <c r="D16" s="9">
        <f>D15</f>
        <v>45797</v>
      </c>
      <c r="E16" s="8" t="s">
        <v>15</v>
      </c>
      <c r="F16" s="8" t="str">
        <f t="shared" ref="F16:F18" si="0">_xlfn.CONCAT(G16," - Repouso Violado - ",IF(MONTH(C16)&lt;10,"0"&amp;MONTH(C16),MONTH(C16)),".",YEAR(C16)," a ",IF(MONTH(D16)&lt;10,"0"&amp;MONTH(D16),MONTH(D16)),".",YEAR(D16))</f>
        <v>Empresa 2 - Repouso Violado - 12.2024 a 05.2025</v>
      </c>
      <c r="G16" s="8" t="s">
        <v>17</v>
      </c>
      <c r="H16" s="8" t="s">
        <v>4</v>
      </c>
    </row>
    <row r="17" spans="1:8" x14ac:dyDescent="0.25">
      <c r="A17" s="17">
        <v>3</v>
      </c>
      <c r="B17" s="8" t="s">
        <v>4</v>
      </c>
      <c r="C17" s="9">
        <f t="shared" ref="C17:C18" si="1">C16</f>
        <v>45637</v>
      </c>
      <c r="D17" s="9">
        <f t="shared" ref="D17:D18" si="2">D16</f>
        <v>45797</v>
      </c>
      <c r="E17" s="8" t="s">
        <v>15</v>
      </c>
      <c r="F17" s="8" t="str">
        <f t="shared" si="0"/>
        <v>Empresa 3 - Repouso Violado - 12.2024 a 05.2025</v>
      </c>
      <c r="G17" s="8" t="s">
        <v>18</v>
      </c>
      <c r="H17" s="8" t="s">
        <v>4</v>
      </c>
    </row>
    <row r="18" spans="1:8" ht="15.75" thickBot="1" x14ac:dyDescent="0.3">
      <c r="A18" s="18">
        <v>6</v>
      </c>
      <c r="B18" s="8" t="s">
        <v>4</v>
      </c>
      <c r="C18" s="11">
        <f t="shared" si="1"/>
        <v>45637</v>
      </c>
      <c r="D18" s="11">
        <f t="shared" si="2"/>
        <v>45797</v>
      </c>
      <c r="E18" s="8" t="s">
        <v>15</v>
      </c>
      <c r="F18" s="10" t="str">
        <f t="shared" si="0"/>
        <v>Empresa 4 - Repouso Violado - 12.2024 a 05.2025</v>
      </c>
      <c r="G18" s="8" t="s">
        <v>19</v>
      </c>
      <c r="H18" s="8" t="s">
        <v>4</v>
      </c>
    </row>
  </sheetData>
  <phoneticPr fontId="21" type="noConversion"/>
  <conditionalFormatting sqref="B15:B18">
    <cfRule type="cellIs" dxfId="9" priority="11" operator="equal">
      <formula>"Sim"</formula>
    </cfRule>
    <cfRule type="cellIs" dxfId="8" priority="12" operator="equal">
      <formula>"Não"</formula>
    </cfRule>
  </conditionalFormatting>
  <conditionalFormatting sqref="H15">
    <cfRule type="cellIs" dxfId="7" priority="7" operator="equal">
      <formula>"Sim"</formula>
    </cfRule>
    <cfRule type="cellIs" dxfId="6" priority="8" operator="equal">
      <formula>"Não"</formula>
    </cfRule>
  </conditionalFormatting>
  <conditionalFormatting sqref="H16">
    <cfRule type="cellIs" dxfId="5" priority="5" operator="equal">
      <formula>"Sim"</formula>
    </cfRule>
    <cfRule type="cellIs" dxfId="4" priority="6" operator="equal">
      <formula>"Não"</formula>
    </cfRule>
  </conditionalFormatting>
  <conditionalFormatting sqref="H17">
    <cfRule type="cellIs" dxfId="3" priority="3" operator="equal">
      <formula>"Sim"</formula>
    </cfRule>
    <cfRule type="cellIs" dxfId="2" priority="4" operator="equal">
      <formula>"Não"</formula>
    </cfRule>
  </conditionalFormatting>
  <conditionalFormatting sqref="H18">
    <cfRule type="cellIs" dxfId="1" priority="1" operator="equal">
      <formula>"Sim"</formula>
    </cfRule>
    <cfRule type="cellIs" dxfId="0" priority="2" operator="equal">
      <formula>"Não"</formula>
    </cfRule>
  </conditionalFormatting>
  <dataValidations count="1">
    <dataValidation type="list" allowBlank="1" showInputMessage="1" showErrorMessage="1" sqref="B15:B18 H15:H18" xr:uid="{2B892218-7905-44B4-A329-CBF321210986}">
      <formula1>$C$4:$C$5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locked="0" defaultSize="0" print="0" autoFill="0" autoPict="0" macro="[0]!Painel.Painel">
                <anchor moveWithCells="1" sizeWithCells="1">
                  <from>
                    <xdr:col>4</xdr:col>
                    <xdr:colOff>152400</xdr:colOff>
                    <xdr:row>2</xdr:row>
                    <xdr:rowOff>123825</xdr:rowOff>
                  </from>
                  <to>
                    <xdr:col>4</xdr:col>
                    <xdr:colOff>885825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Painel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 Vinicius da Silva Nunes</dc:creator>
  <cp:lastModifiedBy>Marcus Vinicius da Silva Nunes</cp:lastModifiedBy>
  <dcterms:created xsi:type="dcterms:W3CDTF">2025-03-27T19:38:20Z</dcterms:created>
  <dcterms:modified xsi:type="dcterms:W3CDTF">2025-06-06T17:18:34Z</dcterms:modified>
</cp:coreProperties>
</file>